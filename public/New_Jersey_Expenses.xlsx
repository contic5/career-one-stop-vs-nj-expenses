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cjconti/Documents/Web Design/career-one-stop-vs-nj-expenses/public/"/>
    </mc:Choice>
  </mc:AlternateContent>
  <xr:revisionPtr revIDLastSave="0" documentId="13_ncr:1_{720DEF7C-6116-7D4E-8A9B-42A8ECAC642D}" xr6:coauthVersionLast="47" xr6:coauthVersionMax="47" xr10:uidLastSave="{00000000-0000-0000-0000-000000000000}"/>
  <bookViews>
    <workbookView xWindow="14180" yWindow="4140" windowWidth="16060" windowHeight="13700" activeTab="1" xr2:uid="{00000000-000D-0000-FFFF-FFFF00000000}"/>
  </bookViews>
  <sheets>
    <sheet name="Apartments" sheetId="1" r:id="rId1"/>
    <sheet name="Apartments_V2" sheetId="5" r:id="rId2"/>
    <sheet name="Appartments_Count _V2" sheetId="4" r:id="rId3"/>
    <sheet name="Appartments_Count" sheetId="3" r:id="rId4"/>
    <sheet name="Sourc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I2" i="4" l="1"/>
  <c r="I7" i="4"/>
  <c r="I3" i="4"/>
  <c r="I5" i="4"/>
  <c r="I8" i="4"/>
  <c r="I10" i="4"/>
  <c r="I12" i="4"/>
  <c r="I14" i="4"/>
  <c r="I4" i="4"/>
  <c r="I6" i="4"/>
  <c r="I9" i="4"/>
  <c r="I11" i="4"/>
  <c r="I13" i="4"/>
</calcChain>
</file>

<file path=xl/sharedStrings.xml><?xml version="1.0" encoding="utf-8"?>
<sst xmlns="http://schemas.openxmlformats.org/spreadsheetml/2006/main" count="86" uniqueCount="24">
  <si>
    <t>https://www.apartments.com/rent-market-trends/nj/</t>
  </si>
  <si>
    <t>Type</t>
  </si>
  <si>
    <t>Studio</t>
  </si>
  <si>
    <t>One Bedroom</t>
  </si>
  <si>
    <t>Two Bedroom</t>
  </si>
  <si>
    <t>Three Bedroom</t>
  </si>
  <si>
    <t>Monthly_Rent</t>
  </si>
  <si>
    <t>Average_Sq_Ft</t>
  </si>
  <si>
    <t>ID</t>
  </si>
  <si>
    <t>Min_Cost</t>
  </si>
  <si>
    <t>Max_Cost</t>
  </si>
  <si>
    <t>Count</t>
  </si>
  <si>
    <t>Looked on appartments.com and counted for each type and cost range</t>
  </si>
  <si>
    <t>Percentile</t>
  </si>
  <si>
    <t>Median_Cost</t>
  </si>
  <si>
    <t>New_Count</t>
  </si>
  <si>
    <t>Appartment Counts V2 prevents double counting by counting the total number of appartments. I counted by going from 0 to the max value.</t>
  </si>
  <si>
    <t>Searched_Min_Cost</t>
  </si>
  <si>
    <t>So I searched for 0 to $1000, 0 to $1250, 0 to $1500, all the way up to 0 to $4000.</t>
  </si>
  <si>
    <t>1 Bed 10%</t>
  </si>
  <si>
    <t>1 Bed 25%</t>
  </si>
  <si>
    <t>1 Bed 50%</t>
  </si>
  <si>
    <t>1 Bed 75%</t>
  </si>
  <si>
    <t>1 Bed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</si>
</sst>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44" fontId="0" fillId="0" borderId="0" xfId="1" applyFont="1"/>
    <xf numFmtId="9" fontId="0" fillId="0" borderId="0" xfId="2" applyFont="1"/>
    <xf numFmtId="44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4BDE24-C57C-45A4-987A-7BE2D34849EC}" name="Table1" displayName="Table1" ref="A1:C5" totalsRowShown="0">
  <autoFilter ref="A1:C5" xr:uid="{814BDE24-C57C-45A4-987A-7BE2D34849EC}"/>
  <tableColumns count="3">
    <tableColumn id="1" xr3:uid="{E36655F9-4C5D-4E2B-B0D8-AA4F8668EE13}" name="Type"/>
    <tableColumn id="2" xr3:uid="{FE9E6FAC-D577-4885-9B2D-7B5909917B2D}" name="Monthly_Rent" dataDxfId="8"/>
    <tableColumn id="3" xr3:uid="{8046BAFD-A553-49C2-97E1-B33C2B6AF181}" name="Average_Sq_Ft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F96CBC-1A32-C24B-B715-37305A517122}" name="Table4" displayName="Table4" ref="A1:B6" totalsRowShown="0" headerRowDxfId="0" headerRowBorderDxfId="1">
  <autoFilter ref="A1:B6" xr:uid="{14F96CBC-1A32-C24B-B715-37305A517122}"/>
  <tableColumns count="2">
    <tableColumn id="1" xr3:uid="{05F0E101-A4EF-F04E-B8D5-28715E7AF05D}" name="Type"/>
    <tableColumn id="2" xr3:uid="{766E8ECA-99C0-8548-8AEC-865958FDF7F6}" name="Monthly_Rent" dataCellStyle="Currenc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538D6E-2029-0C42-8680-F57E47FCC793}" name="Table24" displayName="Table24" ref="A1:I27" totalsRowShown="0">
  <autoFilter ref="A1:I27" xr:uid="{AC11133C-AA73-F94A-A175-5DA20808B242}"/>
  <tableColumns count="9">
    <tableColumn id="1" xr3:uid="{036F99C2-4897-BB4F-97E9-CDB3F11CAE92}" name="ID">
      <calculatedColumnFormula>ROW()-1</calculatedColumnFormula>
    </tableColumn>
    <tableColumn id="2" xr3:uid="{D134B3DA-E5BE-9748-8964-7502310BCAF9}" name="Type"/>
    <tableColumn id="3" xr3:uid="{F6148384-9058-0247-B411-173B18CA077A}" name="Searched_Min_Cost" dataCellStyle="Currency"/>
    <tableColumn id="9" xr3:uid="{F0344193-25FF-8A4A-9DB1-2549C6B7035B}" name="Min_Cost" dataDxfId="3" dataCellStyle="Currency"/>
    <tableColumn id="4" xr3:uid="{240FB416-BCF2-6147-8F00-877B25C4720E}" name="Max_Cost" dataCellStyle="Currency"/>
    <tableColumn id="10" xr3:uid="{3D111046-A92C-1F44-8476-8B7A1628DF72}" name="Median_Cost" dataDxfId="2" dataCellStyle="Currency">
      <calculatedColumnFormula>AVERAGE(Table24[[#This Row],[Min_Cost]],Table24[[#This Row],[Max_Cost]])</calculatedColumnFormula>
    </tableColumn>
    <tableColumn id="5" xr3:uid="{73D50E2E-E335-8243-97E2-B89EEBAE253D}" name="Count"/>
    <tableColumn id="8" xr3:uid="{CF70B159-4F43-E947-9FD3-7FA7AD1628EA}" name="New_Count" dataDxfId="5">
      <calculatedColumnFormula>IF(B2&lt;&gt;B1,Table24[[#This Row],[Count]],G2-G1)</calculatedColumnFormula>
    </tableColumn>
    <tableColumn id="6" xr3:uid="{97F7CCE9-164E-6F40-AF53-DDA4E85D0186}" name="Percentile" dataDxfId="4" dataCellStyle="Percent">
      <calculatedColumnFormula>SUMIFS(Table24[New_Count],Table24[Max_Cost],"&lt;="&amp;Table24[[#This Row],[Max_Cost]],Table24[Type],Table24[[#This Row],[Type]])/SUMIFS(Table24[New_Count],Table24[Type],Table24[[#This Row],[Type]])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1133C-AA73-F94A-A175-5DA20808B242}" name="Table2" displayName="Table2" ref="A1:G27" totalsRowShown="0">
  <autoFilter ref="A1:G27" xr:uid="{AC11133C-AA73-F94A-A175-5DA20808B242}"/>
  <tableColumns count="7">
    <tableColumn id="1" xr3:uid="{D9668CFA-70D2-8940-AFB8-51775FA29526}" name="ID">
      <calculatedColumnFormula>ROW()-1</calculatedColumnFormula>
    </tableColumn>
    <tableColumn id="2" xr3:uid="{F4914CF0-ED72-FD4E-A7E9-39759A9593D8}" name="Type"/>
    <tableColumn id="3" xr3:uid="{B5AF8381-CAE5-DB43-8CB8-C657004030E6}" name="Min_Cost" dataCellStyle="Currency"/>
    <tableColumn id="4" xr3:uid="{53EABA3A-EF2C-D547-8A4E-1DA5705B3B0E}" name="Max_Cost" dataCellStyle="Currency"/>
    <tableColumn id="7" xr3:uid="{616AA817-1C7E-2E41-A0ED-A65C2F439472}" name="Median_Cost" dataDxfId="7" dataCellStyle="Currency">
      <calculatedColumnFormula>AVERAGE(Table2[[#This Row],[Min_Cost]],Table2[[#This Row],[Max_Cost]])</calculatedColumnFormula>
    </tableColumn>
    <tableColumn id="5" xr3:uid="{9834F28B-0266-474D-92AD-188723CF96D2}" name="Count"/>
    <tableColumn id="6" xr3:uid="{9CD91225-7096-914A-AFC9-DC97EAE2A07C}" name="Percentile" dataDxfId="6" dataCellStyle="Percent">
      <calculatedColumnFormula>SUMIFS(Table2[Count],Table2[Max_Cost],"&lt;="&amp;Table2[[#This Row],[Max_Cost]],Table2[Type],Table2[[#This Row],[Type]])/SUMIFS(Table2[Count],Table2[Type],Table2[[#This Row],[Type]])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2" sqref="B2"/>
    </sheetView>
  </sheetViews>
  <sheetFormatPr baseColWidth="10" defaultColWidth="8.83203125" defaultRowHeight="15" x14ac:dyDescent="0.2"/>
  <cols>
    <col min="2" max="2" width="14.5" customWidth="1"/>
    <col min="3" max="3" width="14.83203125" customWidth="1"/>
  </cols>
  <sheetData>
    <row r="1" spans="1:3" x14ac:dyDescent="0.2">
      <c r="A1" t="s">
        <v>1</v>
      </c>
      <c r="B1" t="s">
        <v>6</v>
      </c>
      <c r="C1" t="s">
        <v>7</v>
      </c>
    </row>
    <row r="2" spans="1:3" x14ac:dyDescent="0.2">
      <c r="A2" t="s">
        <v>2</v>
      </c>
      <c r="B2" s="1">
        <v>2069</v>
      </c>
      <c r="C2">
        <v>463</v>
      </c>
    </row>
    <row r="3" spans="1:3" x14ac:dyDescent="0.2">
      <c r="A3" t="s">
        <v>3</v>
      </c>
      <c r="B3" s="1">
        <v>2138</v>
      </c>
      <c r="C3">
        <v>727</v>
      </c>
    </row>
    <row r="4" spans="1:3" x14ac:dyDescent="0.2">
      <c r="A4" t="s">
        <v>4</v>
      </c>
      <c r="B4" s="1">
        <v>2781</v>
      </c>
      <c r="C4">
        <v>1041</v>
      </c>
    </row>
    <row r="5" spans="1:3" x14ac:dyDescent="0.2">
      <c r="A5" t="s">
        <v>5</v>
      </c>
      <c r="B5" s="1">
        <v>3708</v>
      </c>
      <c r="C5">
        <v>1385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3528-17A9-244C-B6B4-BA9A12CE26D2}">
  <dimension ref="A1:B6"/>
  <sheetViews>
    <sheetView tabSelected="1" workbookViewId="0">
      <selection activeCell="B9" sqref="B9"/>
    </sheetView>
  </sheetViews>
  <sheetFormatPr baseColWidth="10" defaultRowHeight="15" x14ac:dyDescent="0.2"/>
  <cols>
    <col min="2" max="2" width="14.6640625" customWidth="1"/>
  </cols>
  <sheetData>
    <row r="1" spans="1:2" ht="16" thickBot="1" x14ac:dyDescent="0.25">
      <c r="A1" s="2" t="s">
        <v>1</v>
      </c>
      <c r="B1" s="3" t="s">
        <v>6</v>
      </c>
    </row>
    <row r="2" spans="1:2" ht="16" thickTop="1" x14ac:dyDescent="0.2">
      <c r="A2" t="s">
        <v>19</v>
      </c>
      <c r="B2" s="4">
        <v>1375</v>
      </c>
    </row>
    <row r="3" spans="1:2" x14ac:dyDescent="0.2">
      <c r="A3" t="s">
        <v>20</v>
      </c>
      <c r="B3" s="4">
        <v>1625</v>
      </c>
    </row>
    <row r="4" spans="1:2" x14ac:dyDescent="0.2">
      <c r="A4" t="s">
        <v>21</v>
      </c>
      <c r="B4" s="4">
        <v>2100</v>
      </c>
    </row>
    <row r="5" spans="1:2" x14ac:dyDescent="0.2">
      <c r="A5" t="s">
        <v>22</v>
      </c>
      <c r="B5" s="4">
        <v>2500</v>
      </c>
    </row>
    <row r="6" spans="1:2" x14ac:dyDescent="0.2">
      <c r="A6" t="s">
        <v>23</v>
      </c>
      <c r="B6" s="4">
        <v>3000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D3F3-A741-7D44-A690-008F7F2FF926}">
  <dimension ref="A1:I27"/>
  <sheetViews>
    <sheetView workbookViewId="0">
      <selection activeCell="D7" sqref="D7"/>
    </sheetView>
  </sheetViews>
  <sheetFormatPr baseColWidth="10" defaultRowHeight="15" x14ac:dyDescent="0.2"/>
  <sheetData>
    <row r="1" spans="1:9" x14ac:dyDescent="0.2">
      <c r="A1" t="s">
        <v>8</v>
      </c>
      <c r="B1" t="s">
        <v>1</v>
      </c>
      <c r="C1" t="s">
        <v>17</v>
      </c>
      <c r="D1" t="s">
        <v>9</v>
      </c>
      <c r="E1" t="s">
        <v>10</v>
      </c>
      <c r="F1" t="s">
        <v>14</v>
      </c>
      <c r="G1" t="s">
        <v>11</v>
      </c>
      <c r="H1" t="s">
        <v>15</v>
      </c>
      <c r="I1" t="s">
        <v>13</v>
      </c>
    </row>
    <row r="2" spans="1:9" x14ac:dyDescent="0.2">
      <c r="A2">
        <f>ROW()-1</f>
        <v>1</v>
      </c>
      <c r="B2" t="s">
        <v>3</v>
      </c>
      <c r="C2" s="4">
        <v>0</v>
      </c>
      <c r="D2" s="4">
        <v>0</v>
      </c>
      <c r="E2" s="4">
        <v>1000</v>
      </c>
      <c r="F2" s="4">
        <f>AVERAGE(Table24[[#This Row],[Min_Cost]],Table24[[#This Row],[Max_Cost]])</f>
        <v>500</v>
      </c>
      <c r="G2">
        <v>263</v>
      </c>
      <c r="H2">
        <f>IF(B2&lt;&gt;B1,Table24[[#This Row],[Count]],G2-G1)</f>
        <v>263</v>
      </c>
      <c r="I2" s="5">
        <f>SUMIFS(Table24[New_Count],Table24[Max_Cost],"&lt;="&amp;Table24[[#This Row],[Max_Cost]],Table24[Type],Table24[[#This Row],[Type]])/SUMIFS(Table24[New_Count],Table24[Type],Table24[[#This Row],[Type]])</f>
        <v>2.1114322414900449E-2</v>
      </c>
    </row>
    <row r="3" spans="1:9" x14ac:dyDescent="0.2">
      <c r="A3">
        <f>ROW()-1</f>
        <v>2</v>
      </c>
      <c r="B3" t="s">
        <v>3</v>
      </c>
      <c r="C3" s="4">
        <v>0</v>
      </c>
      <c r="D3" s="4">
        <v>1000</v>
      </c>
      <c r="E3" s="4">
        <v>1250</v>
      </c>
      <c r="F3" s="4">
        <f>AVERAGE(Table24[[#This Row],[Min_Cost]],Table24[[#This Row],[Max_Cost]])</f>
        <v>1125</v>
      </c>
      <c r="G3">
        <v>587</v>
      </c>
      <c r="H3">
        <f>IF(B3&lt;&gt;B2,Table24[[#This Row],[Count]],G3-G2)</f>
        <v>324</v>
      </c>
      <c r="I3" s="5">
        <f>SUMIFS(Table24[New_Count],Table24[Max_Cost],"&lt;="&amp;Table24[[#This Row],[Max_Cost]],Table24[Type],Table24[[#This Row],[Type]])/SUMIFS(Table24[New_Count],Table24[Type],Table24[[#This Row],[Type]])</f>
        <v>4.7125883108542072E-2</v>
      </c>
    </row>
    <row r="4" spans="1:9" x14ac:dyDescent="0.2">
      <c r="A4">
        <f>ROW()-1</f>
        <v>3</v>
      </c>
      <c r="B4" t="s">
        <v>3</v>
      </c>
      <c r="C4" s="4">
        <v>0</v>
      </c>
      <c r="D4" s="4">
        <v>1250</v>
      </c>
      <c r="E4" s="4">
        <v>1500</v>
      </c>
      <c r="F4" s="4">
        <f>AVERAGE(Table24[[#This Row],[Min_Cost]],Table24[[#This Row],[Max_Cost]])</f>
        <v>1375</v>
      </c>
      <c r="G4">
        <v>1291</v>
      </c>
      <c r="H4">
        <f>IF(B4&lt;&gt;B3,Table24[[#This Row],[Count]],G4-G3)</f>
        <v>704</v>
      </c>
      <c r="I4" s="5">
        <f>SUMIFS(Table24[New_Count],Table24[Max_Cost],"&lt;="&amp;Table24[[#This Row],[Max_Cost]],Table24[Type],Table24[[#This Row],[Type]])/SUMIFS(Table24[New_Count],Table24[Type],Table24[[#This Row],[Type]])</f>
        <v>0.10364482980089916</v>
      </c>
    </row>
    <row r="5" spans="1:9" x14ac:dyDescent="0.2">
      <c r="A5">
        <f>ROW()-1</f>
        <v>4</v>
      </c>
      <c r="B5" t="s">
        <v>3</v>
      </c>
      <c r="C5" s="4">
        <v>0</v>
      </c>
      <c r="D5" s="4">
        <v>1500</v>
      </c>
      <c r="E5" s="4">
        <v>1750</v>
      </c>
      <c r="F5" s="4">
        <f>AVERAGE(Table24[[#This Row],[Min_Cost]],Table24[[#This Row],[Max_Cost]])</f>
        <v>1625</v>
      </c>
      <c r="G5">
        <v>2963</v>
      </c>
      <c r="H5">
        <f>IF(B5&lt;&gt;B4,Table24[[#This Row],[Count]],G5-G4)</f>
        <v>1672</v>
      </c>
      <c r="I5" s="5">
        <f>SUMIFS(Table24[New_Count],Table24[Max_Cost],"&lt;="&amp;Table24[[#This Row],[Max_Cost]],Table24[Type],Table24[[#This Row],[Type]])/SUMIFS(Table24[New_Count],Table24[Type],Table24[[#This Row],[Type]])</f>
        <v>0.23787732819524726</v>
      </c>
    </row>
    <row r="6" spans="1:9" x14ac:dyDescent="0.2">
      <c r="A6">
        <f>ROW()-1</f>
        <v>5</v>
      </c>
      <c r="B6" t="s">
        <v>3</v>
      </c>
      <c r="C6" s="4">
        <v>0</v>
      </c>
      <c r="D6" s="4">
        <v>1750</v>
      </c>
      <c r="E6" s="4">
        <v>2000</v>
      </c>
      <c r="F6" s="4">
        <f>AVERAGE(Table24[[#This Row],[Min_Cost]],Table24[[#This Row],[Max_Cost]])</f>
        <v>1875</v>
      </c>
      <c r="G6">
        <v>5022</v>
      </c>
      <c r="H6">
        <f>IF(B6&lt;&gt;B5,Table24[[#This Row],[Count]],G6-G5)</f>
        <v>2059</v>
      </c>
      <c r="I6" s="5">
        <f>SUMIFS(Table24[New_Count],Table24[Max_Cost],"&lt;="&amp;Table24[[#This Row],[Max_Cost]],Table24[Type],Table24[[#This Row],[Type]])/SUMIFS(Table24[New_Count],Table24[Type],Table24[[#This Row],[Type]])</f>
        <v>0.40317919075144509</v>
      </c>
    </row>
    <row r="7" spans="1:9" x14ac:dyDescent="0.2">
      <c r="A7">
        <f>ROW()-1</f>
        <v>6</v>
      </c>
      <c r="B7" t="s">
        <v>3</v>
      </c>
      <c r="C7" s="4">
        <v>0</v>
      </c>
      <c r="D7" s="4">
        <v>2000</v>
      </c>
      <c r="E7" s="4">
        <v>2250</v>
      </c>
      <c r="F7" s="4">
        <f>AVERAGE(Table24[[#This Row],[Min_Cost]],Table24[[#This Row],[Max_Cost]])</f>
        <v>2125</v>
      </c>
      <c r="G7">
        <v>6722</v>
      </c>
      <c r="H7">
        <f>IF(B7&lt;&gt;B6,Table24[[#This Row],[Count]],G7-G6)</f>
        <v>1700</v>
      </c>
      <c r="I7" s="5">
        <f>SUMIFS(Table24[New_Count],Table24[Max_Cost],"&lt;="&amp;Table24[[#This Row],[Max_Cost]],Table24[Type],Table24[[#This Row],[Type]])/SUMIFS(Table24[New_Count],Table24[Type],Table24[[#This Row],[Type]])</f>
        <v>0.53965960179833017</v>
      </c>
    </row>
    <row r="8" spans="1:9" x14ac:dyDescent="0.2">
      <c r="A8">
        <f>ROW()-1</f>
        <v>7</v>
      </c>
      <c r="B8" t="s">
        <v>3</v>
      </c>
      <c r="C8" s="4">
        <v>0</v>
      </c>
      <c r="D8" s="4">
        <v>2250</v>
      </c>
      <c r="E8" s="4">
        <v>2500</v>
      </c>
      <c r="F8" s="4">
        <f>AVERAGE(Table24[[#This Row],[Min_Cost]],Table24[[#This Row],[Max_Cost]])</f>
        <v>2375</v>
      </c>
      <c r="G8">
        <v>8607</v>
      </c>
      <c r="H8">
        <f>IF(B8&lt;&gt;B7,Table24[[#This Row],[Count]],G8-G7)</f>
        <v>1885</v>
      </c>
      <c r="I8" s="5">
        <f>SUMIFS(Table24[New_Count],Table24[Max_Cost],"&lt;="&amp;Table24[[#This Row],[Max_Cost]],Table24[Type],Table24[[#This Row],[Type]])/SUMIFS(Table24[New_Count],Table24[Type],Table24[[#This Row],[Type]])</f>
        <v>0.69099229287090558</v>
      </c>
    </row>
    <row r="9" spans="1:9" x14ac:dyDescent="0.2">
      <c r="A9">
        <f>ROW()-1</f>
        <v>8</v>
      </c>
      <c r="B9" t="s">
        <v>3</v>
      </c>
      <c r="C9" s="4">
        <v>0</v>
      </c>
      <c r="D9" s="4">
        <v>2500</v>
      </c>
      <c r="E9" s="4">
        <v>2750</v>
      </c>
      <c r="F9" s="4">
        <f>AVERAGE(Table24[[#This Row],[Min_Cost]],Table24[[#This Row],[Max_Cost]])</f>
        <v>2625</v>
      </c>
      <c r="G9">
        <v>9898</v>
      </c>
      <c r="H9">
        <f>IF(B9&lt;&gt;B8,Table24[[#This Row],[Count]],G9-G8)</f>
        <v>1291</v>
      </c>
      <c r="I9" s="5">
        <f>SUMIFS(Table24[New_Count],Table24[Max_Cost],"&lt;="&amp;Table24[[#This Row],[Max_Cost]],Table24[Type],Table24[[#This Row],[Type]])/SUMIFS(Table24[New_Count],Table24[Type],Table24[[#This Row],[Type]])</f>
        <v>0.79463712267180475</v>
      </c>
    </row>
    <row r="10" spans="1:9" x14ac:dyDescent="0.2">
      <c r="A10">
        <f>ROW()-1</f>
        <v>9</v>
      </c>
      <c r="B10" t="s">
        <v>3</v>
      </c>
      <c r="C10" s="4">
        <v>0</v>
      </c>
      <c r="D10" s="4">
        <v>2750</v>
      </c>
      <c r="E10" s="4">
        <v>3000</v>
      </c>
      <c r="F10" s="4">
        <f>AVERAGE(Table24[[#This Row],[Min_Cost]],Table24[[#This Row],[Max_Cost]])</f>
        <v>2875</v>
      </c>
      <c r="G10">
        <v>10905</v>
      </c>
      <c r="H10">
        <f>IF(B10&lt;&gt;B9,Table24[[#This Row],[Count]],G10-G9)</f>
        <v>1007</v>
      </c>
      <c r="I10" s="5">
        <f>SUMIFS(Table24[New_Count],Table24[Max_Cost],"&lt;="&amp;Table24[[#This Row],[Max_Cost]],Table24[Type],Table24[[#This Row],[Type]])/SUMIFS(Table24[New_Count],Table24[Type],Table24[[#This Row],[Type]])</f>
        <v>0.87548169556840072</v>
      </c>
    </row>
    <row r="11" spans="1:9" x14ac:dyDescent="0.2">
      <c r="A11">
        <f>ROW()-1</f>
        <v>10</v>
      </c>
      <c r="B11" t="s">
        <v>3</v>
      </c>
      <c r="C11" s="4">
        <v>0</v>
      </c>
      <c r="D11" s="4">
        <v>3000</v>
      </c>
      <c r="E11" s="4">
        <v>3250</v>
      </c>
      <c r="F11" s="4">
        <f>AVERAGE(Table24[[#This Row],[Min_Cost]],Table24[[#This Row],[Max_Cost]])</f>
        <v>3125</v>
      </c>
      <c r="G11">
        <v>11561</v>
      </c>
      <c r="H11">
        <f>IF(B11&lt;&gt;B10,Table24[[#This Row],[Count]],G11-G10)</f>
        <v>656</v>
      </c>
      <c r="I11" s="5">
        <f>SUMIFS(Table24[New_Count],Table24[Max_Cost],"&lt;="&amp;Table24[[#This Row],[Max_Cost]],Table24[Type],Table24[[#This Row],[Type]])/SUMIFS(Table24[New_Count],Table24[Type],Table24[[#This Row],[Type]])</f>
        <v>0.92814707771355165</v>
      </c>
    </row>
    <row r="12" spans="1:9" x14ac:dyDescent="0.2">
      <c r="A12">
        <f>ROW()-1</f>
        <v>11</v>
      </c>
      <c r="B12" t="s">
        <v>3</v>
      </c>
      <c r="C12" s="4">
        <v>0</v>
      </c>
      <c r="D12" s="4">
        <v>3250</v>
      </c>
      <c r="E12" s="4">
        <v>3500</v>
      </c>
      <c r="F12" s="4">
        <f>AVERAGE(Table24[[#This Row],[Min_Cost]],Table24[[#This Row],[Max_Cost]])</f>
        <v>3375</v>
      </c>
      <c r="G12">
        <v>11932</v>
      </c>
      <c r="H12">
        <f>IF(B12&lt;&gt;B11,Table24[[#This Row],[Count]],G12-G11)</f>
        <v>371</v>
      </c>
      <c r="I12" s="5">
        <f>SUMIFS(Table24[New_Count],Table24[Max_Cost],"&lt;="&amp;Table24[[#This Row],[Max_Cost]],Table24[Type],Table24[[#This Row],[Type]])/SUMIFS(Table24[New_Count],Table24[Type],Table24[[#This Row],[Type]])</f>
        <v>0.95793192035966601</v>
      </c>
    </row>
    <row r="13" spans="1:9" x14ac:dyDescent="0.2">
      <c r="A13">
        <f>ROW()-1</f>
        <v>12</v>
      </c>
      <c r="B13" t="s">
        <v>3</v>
      </c>
      <c r="C13" s="4">
        <v>0</v>
      </c>
      <c r="D13" s="4">
        <v>3500</v>
      </c>
      <c r="E13" s="4">
        <v>3750</v>
      </c>
      <c r="F13" s="4">
        <f>AVERAGE(Table24[[#This Row],[Min_Cost]],Table24[[#This Row],[Max_Cost]])</f>
        <v>3625</v>
      </c>
      <c r="G13">
        <v>12192</v>
      </c>
      <c r="H13">
        <f>IF(B13&lt;&gt;B12,Table24[[#This Row],[Count]],G13-G12)</f>
        <v>260</v>
      </c>
      <c r="I13" s="5">
        <f>SUMIFS(Table24[New_Count],Table24[Max_Cost],"&lt;="&amp;Table24[[#This Row],[Max_Cost]],Table24[Type],Table24[[#This Row],[Type]])/SUMIFS(Table24[New_Count],Table24[Type],Table24[[#This Row],[Type]])</f>
        <v>0.97880539499036612</v>
      </c>
    </row>
    <row r="14" spans="1:9" x14ac:dyDescent="0.2">
      <c r="A14">
        <f>ROW()-1</f>
        <v>13</v>
      </c>
      <c r="B14" t="s">
        <v>3</v>
      </c>
      <c r="C14" s="4">
        <v>0</v>
      </c>
      <c r="D14" s="4">
        <v>3750</v>
      </c>
      <c r="E14" s="4">
        <v>4000</v>
      </c>
      <c r="F14" s="4">
        <f>AVERAGE(Table24[[#This Row],[Min_Cost]],Table24[[#This Row],[Max_Cost]])</f>
        <v>3875</v>
      </c>
      <c r="G14">
        <v>12456</v>
      </c>
      <c r="H14">
        <f>IF(B14&lt;&gt;B13,Table24[[#This Row],[Count]],G14-G13)</f>
        <v>264</v>
      </c>
      <c r="I14" s="5">
        <f>SUMIFS(Table24[New_Count],Table24[Max_Cost],"&lt;="&amp;Table24[[#This Row],[Max_Cost]],Table24[Type],Table24[[#This Row],[Type]])/SUMIFS(Table24[New_Count],Table24[Type],Table24[[#This Row],[Type]])</f>
        <v>1</v>
      </c>
    </row>
    <row r="15" spans="1:9" x14ac:dyDescent="0.2">
      <c r="A15">
        <f t="shared" ref="A15:A27" si="0">ROW()-1</f>
        <v>14</v>
      </c>
      <c r="B15" t="s">
        <v>2</v>
      </c>
      <c r="C15" s="4">
        <v>0</v>
      </c>
      <c r="D15" s="4">
        <v>0</v>
      </c>
      <c r="E15" s="4">
        <v>1000</v>
      </c>
      <c r="F15" s="4">
        <f>AVERAGE(Table24[[#This Row],[Min_Cost]],Table24[[#This Row],[Max_Cost]])</f>
        <v>500</v>
      </c>
      <c r="G15">
        <v>10</v>
      </c>
      <c r="H15">
        <f>IF(B15&lt;&gt;B14,Table24[[#This Row],[Count]],G15-G14)</f>
        <v>10</v>
      </c>
      <c r="I15" s="5">
        <f>SUMIFS(Table24[New_Count],Table24[Max_Cost],"&lt;="&amp;Table24[[#This Row],[Max_Cost]],Table24[Type],Table24[[#This Row],[Type]])/SUMIFS(Table24[New_Count],Table24[Type],Table24[[#This Row],[Type]])</f>
        <v>5.6053811659192822E-3</v>
      </c>
    </row>
    <row r="16" spans="1:9" x14ac:dyDescent="0.2">
      <c r="A16">
        <f t="shared" si="0"/>
        <v>15</v>
      </c>
      <c r="B16" t="s">
        <v>2</v>
      </c>
      <c r="C16" s="4">
        <v>0</v>
      </c>
      <c r="D16" s="4">
        <v>1000</v>
      </c>
      <c r="E16" s="4">
        <v>1250</v>
      </c>
      <c r="F16" s="4">
        <f>AVERAGE(Table24[[#This Row],[Min_Cost]],Table24[[#This Row],[Max_Cost]])</f>
        <v>1125</v>
      </c>
      <c r="G16">
        <v>52</v>
      </c>
      <c r="H16">
        <f>IF(B16&lt;&gt;B15,Table24[[#This Row],[Count]],G16-G15)</f>
        <v>42</v>
      </c>
      <c r="I16" s="5">
        <f>SUMIFS(Table24[New_Count],Table24[Max_Cost],"&lt;="&amp;Table24[[#This Row],[Max_Cost]],Table24[Type],Table24[[#This Row],[Type]])/SUMIFS(Table24[New_Count],Table24[Type],Table24[[#This Row],[Type]])</f>
        <v>2.914798206278027E-2</v>
      </c>
    </row>
    <row r="17" spans="1:9" x14ac:dyDescent="0.2">
      <c r="A17">
        <f t="shared" si="0"/>
        <v>16</v>
      </c>
      <c r="B17" t="s">
        <v>2</v>
      </c>
      <c r="C17" s="4">
        <v>0</v>
      </c>
      <c r="D17" s="4">
        <v>1250</v>
      </c>
      <c r="E17" s="4">
        <v>1500</v>
      </c>
      <c r="F17" s="4">
        <f>AVERAGE(Table24[[#This Row],[Min_Cost]],Table24[[#This Row],[Max_Cost]])</f>
        <v>1375</v>
      </c>
      <c r="G17">
        <v>185</v>
      </c>
      <c r="H17">
        <f>IF(B17&lt;&gt;B16,Table24[[#This Row],[Count]],G17-G16)</f>
        <v>133</v>
      </c>
      <c r="I17" s="5">
        <f>SUMIFS(Table24[New_Count],Table24[Max_Cost],"&lt;="&amp;Table24[[#This Row],[Max_Cost]],Table24[Type],Table24[[#This Row],[Type]])/SUMIFS(Table24[New_Count],Table24[Type],Table24[[#This Row],[Type]])</f>
        <v>0.10369955156950672</v>
      </c>
    </row>
    <row r="18" spans="1:9" x14ac:dyDescent="0.2">
      <c r="A18">
        <f t="shared" si="0"/>
        <v>17</v>
      </c>
      <c r="B18" t="s">
        <v>2</v>
      </c>
      <c r="C18" s="4">
        <v>0</v>
      </c>
      <c r="D18" s="4">
        <v>1500</v>
      </c>
      <c r="E18" s="4">
        <v>1750</v>
      </c>
      <c r="F18" s="4">
        <f>AVERAGE(Table24[[#This Row],[Min_Cost]],Table24[[#This Row],[Max_Cost]])</f>
        <v>1625</v>
      </c>
      <c r="G18">
        <v>306</v>
      </c>
      <c r="H18">
        <f>IF(B18&lt;&gt;B17,Table24[[#This Row],[Count]],G18-G17)</f>
        <v>121</v>
      </c>
      <c r="I18" s="5">
        <f>SUMIFS(Table24[New_Count],Table24[Max_Cost],"&lt;="&amp;Table24[[#This Row],[Max_Cost]],Table24[Type],Table24[[#This Row],[Type]])/SUMIFS(Table24[New_Count],Table24[Type],Table24[[#This Row],[Type]])</f>
        <v>0.17152466367713004</v>
      </c>
    </row>
    <row r="19" spans="1:9" x14ac:dyDescent="0.2">
      <c r="A19">
        <f t="shared" si="0"/>
        <v>18</v>
      </c>
      <c r="B19" t="s">
        <v>2</v>
      </c>
      <c r="C19" s="4">
        <v>0</v>
      </c>
      <c r="D19" s="4">
        <v>1750</v>
      </c>
      <c r="E19" s="4">
        <v>2000</v>
      </c>
      <c r="F19" s="4">
        <f>AVERAGE(Table24[[#This Row],[Min_Cost]],Table24[[#This Row],[Max_Cost]])</f>
        <v>1875</v>
      </c>
      <c r="G19">
        <v>507</v>
      </c>
      <c r="H19">
        <f>IF(B19&lt;&gt;B18,Table24[[#This Row],[Count]],G19-G18)</f>
        <v>201</v>
      </c>
      <c r="I19" s="5">
        <f>SUMIFS(Table24[New_Count],Table24[Max_Cost],"&lt;="&amp;Table24[[#This Row],[Max_Cost]],Table24[Type],Table24[[#This Row],[Type]])/SUMIFS(Table24[New_Count],Table24[Type],Table24[[#This Row],[Type]])</f>
        <v>0.28419282511210764</v>
      </c>
    </row>
    <row r="20" spans="1:9" x14ac:dyDescent="0.2">
      <c r="A20">
        <f t="shared" si="0"/>
        <v>19</v>
      </c>
      <c r="B20" t="s">
        <v>2</v>
      </c>
      <c r="C20" s="4">
        <v>0</v>
      </c>
      <c r="D20" s="4">
        <v>2000</v>
      </c>
      <c r="E20" s="4">
        <v>2250</v>
      </c>
      <c r="F20" s="4">
        <f>AVERAGE(Table24[[#This Row],[Min_Cost]],Table24[[#This Row],[Max_Cost]])</f>
        <v>2125</v>
      </c>
      <c r="G20">
        <v>806</v>
      </c>
      <c r="H20">
        <f>IF(B20&lt;&gt;B19,Table24[[#This Row],[Count]],G20-G19)</f>
        <v>299</v>
      </c>
      <c r="I20" s="5">
        <f>SUMIFS(Table24[New_Count],Table24[Max_Cost],"&lt;="&amp;Table24[[#This Row],[Max_Cost]],Table24[Type],Table24[[#This Row],[Type]])/SUMIFS(Table24[New_Count],Table24[Type],Table24[[#This Row],[Type]])</f>
        <v>0.4517937219730942</v>
      </c>
    </row>
    <row r="21" spans="1:9" x14ac:dyDescent="0.2">
      <c r="A21">
        <f t="shared" si="0"/>
        <v>20</v>
      </c>
      <c r="B21" t="s">
        <v>2</v>
      </c>
      <c r="C21" s="4">
        <v>0</v>
      </c>
      <c r="D21" s="4">
        <v>2250</v>
      </c>
      <c r="E21" s="4">
        <v>2500</v>
      </c>
      <c r="F21" s="4">
        <f>AVERAGE(Table24[[#This Row],[Min_Cost]],Table24[[#This Row],[Max_Cost]])</f>
        <v>2375</v>
      </c>
      <c r="G21">
        <v>1134</v>
      </c>
      <c r="H21">
        <f>IF(B21&lt;&gt;B20,Table24[[#This Row],[Count]],G21-G20)</f>
        <v>328</v>
      </c>
      <c r="I21" s="5">
        <f>SUMIFS(Table24[New_Count],Table24[Max_Cost],"&lt;="&amp;Table24[[#This Row],[Max_Cost]],Table24[Type],Table24[[#This Row],[Type]])/SUMIFS(Table24[New_Count],Table24[Type],Table24[[#This Row],[Type]])</f>
        <v>0.63565022421524664</v>
      </c>
    </row>
    <row r="22" spans="1:9" x14ac:dyDescent="0.2">
      <c r="A22">
        <f t="shared" si="0"/>
        <v>21</v>
      </c>
      <c r="B22" t="s">
        <v>2</v>
      </c>
      <c r="C22" s="4">
        <v>0</v>
      </c>
      <c r="D22" s="4">
        <v>2500</v>
      </c>
      <c r="E22" s="4">
        <v>2750</v>
      </c>
      <c r="F22" s="4">
        <f>AVERAGE(Table24[[#This Row],[Min_Cost]],Table24[[#This Row],[Max_Cost]])</f>
        <v>2625</v>
      </c>
      <c r="G22">
        <v>1379</v>
      </c>
      <c r="H22">
        <f>IF(B22&lt;&gt;B21,Table24[[#This Row],[Count]],G22-G21)</f>
        <v>245</v>
      </c>
      <c r="I22" s="5">
        <f>SUMIFS(Table24[New_Count],Table24[Max_Cost],"&lt;="&amp;Table24[[#This Row],[Max_Cost]],Table24[Type],Table24[[#This Row],[Type]])/SUMIFS(Table24[New_Count],Table24[Type],Table24[[#This Row],[Type]])</f>
        <v>0.77298206278026904</v>
      </c>
    </row>
    <row r="23" spans="1:9" x14ac:dyDescent="0.2">
      <c r="A23">
        <f t="shared" si="0"/>
        <v>22</v>
      </c>
      <c r="B23" t="s">
        <v>2</v>
      </c>
      <c r="C23" s="4">
        <v>0</v>
      </c>
      <c r="D23" s="4">
        <v>2750</v>
      </c>
      <c r="E23" s="4">
        <v>3000</v>
      </c>
      <c r="F23" s="4">
        <f>AVERAGE(Table24[[#This Row],[Min_Cost]],Table24[[#This Row],[Max_Cost]])</f>
        <v>2875</v>
      </c>
      <c r="G23">
        <v>1510</v>
      </c>
      <c r="H23">
        <f>IF(B23&lt;&gt;B22,Table24[[#This Row],[Count]],G23-G22)</f>
        <v>131</v>
      </c>
      <c r="I23" s="5">
        <f>SUMIFS(Table24[New_Count],Table24[Max_Cost],"&lt;="&amp;Table24[[#This Row],[Max_Cost]],Table24[Type],Table24[[#This Row],[Type]])/SUMIFS(Table24[New_Count],Table24[Type],Table24[[#This Row],[Type]])</f>
        <v>0.8464125560538116</v>
      </c>
    </row>
    <row r="24" spans="1:9" x14ac:dyDescent="0.2">
      <c r="A24">
        <f t="shared" si="0"/>
        <v>23</v>
      </c>
      <c r="B24" t="s">
        <v>2</v>
      </c>
      <c r="C24" s="4">
        <v>0</v>
      </c>
      <c r="D24" s="4">
        <v>3000</v>
      </c>
      <c r="E24" s="4">
        <v>3250</v>
      </c>
      <c r="F24" s="4">
        <f>AVERAGE(Table24[[#This Row],[Min_Cost]],Table24[[#This Row],[Max_Cost]])</f>
        <v>3125</v>
      </c>
      <c r="G24">
        <v>1600</v>
      </c>
      <c r="H24">
        <f>IF(B24&lt;&gt;B23,Table24[[#This Row],[Count]],G24-G23)</f>
        <v>90</v>
      </c>
      <c r="I24" s="5">
        <f>SUMIFS(Table24[New_Count],Table24[Max_Cost],"&lt;="&amp;Table24[[#This Row],[Max_Cost]],Table24[Type],Table24[[#This Row],[Type]])/SUMIFS(Table24[New_Count],Table24[Type],Table24[[#This Row],[Type]])</f>
        <v>0.89686098654708524</v>
      </c>
    </row>
    <row r="25" spans="1:9" x14ac:dyDescent="0.2">
      <c r="A25">
        <f t="shared" si="0"/>
        <v>24</v>
      </c>
      <c r="B25" t="s">
        <v>2</v>
      </c>
      <c r="C25" s="4">
        <v>0</v>
      </c>
      <c r="D25" s="4">
        <v>3250</v>
      </c>
      <c r="E25" s="4">
        <v>3500</v>
      </c>
      <c r="F25" s="4">
        <f>AVERAGE(Table24[[#This Row],[Min_Cost]],Table24[[#This Row],[Max_Cost]])</f>
        <v>3375</v>
      </c>
      <c r="G25">
        <v>1692</v>
      </c>
      <c r="H25">
        <f>IF(B25&lt;&gt;B24,Table24[[#This Row],[Count]],G25-G24)</f>
        <v>92</v>
      </c>
      <c r="I25" s="5">
        <f>SUMIFS(Table24[New_Count],Table24[Max_Cost],"&lt;="&amp;Table24[[#This Row],[Max_Cost]],Table24[Type],Table24[[#This Row],[Type]])/SUMIFS(Table24[New_Count],Table24[Type],Table24[[#This Row],[Type]])</f>
        <v>0.94843049327354256</v>
      </c>
    </row>
    <row r="26" spans="1:9" x14ac:dyDescent="0.2">
      <c r="A26">
        <f t="shared" si="0"/>
        <v>25</v>
      </c>
      <c r="B26" t="s">
        <v>2</v>
      </c>
      <c r="C26" s="4">
        <v>0</v>
      </c>
      <c r="D26" s="4">
        <v>3500</v>
      </c>
      <c r="E26" s="4">
        <v>3750</v>
      </c>
      <c r="F26" s="4">
        <f>AVERAGE(Table24[[#This Row],[Min_Cost]],Table24[[#This Row],[Max_Cost]])</f>
        <v>3625</v>
      </c>
      <c r="G26">
        <v>1763</v>
      </c>
      <c r="H26">
        <f>IF(B26&lt;&gt;B25,Table24[[#This Row],[Count]],G26-G25)</f>
        <v>71</v>
      </c>
      <c r="I26" s="5">
        <f>SUMIFS(Table24[New_Count],Table24[Max_Cost],"&lt;="&amp;Table24[[#This Row],[Max_Cost]],Table24[Type],Table24[[#This Row],[Type]])/SUMIFS(Table24[New_Count],Table24[Type],Table24[[#This Row],[Type]])</f>
        <v>0.98822869955156956</v>
      </c>
    </row>
    <row r="27" spans="1:9" x14ac:dyDescent="0.2">
      <c r="A27">
        <f t="shared" si="0"/>
        <v>26</v>
      </c>
      <c r="B27" t="s">
        <v>2</v>
      </c>
      <c r="C27" s="4">
        <v>0</v>
      </c>
      <c r="D27" s="4">
        <v>3750</v>
      </c>
      <c r="E27" s="4">
        <v>4000</v>
      </c>
      <c r="F27" s="4">
        <f>AVERAGE(Table24[[#This Row],[Min_Cost]],Table24[[#This Row],[Max_Cost]])</f>
        <v>3875</v>
      </c>
      <c r="G27">
        <v>1784</v>
      </c>
      <c r="H27">
        <f>IF(B27&lt;&gt;B26,Table24[[#This Row],[Count]],G27-G26)</f>
        <v>21</v>
      </c>
      <c r="I27" s="5">
        <f>SUMIFS(Table24[New_Count],Table24[Max_Cost],"&lt;="&amp;Table24[[#This Row],[Max_Cost]],Table24[Type],Table24[[#This Row],[Type]])/SUMIFS(Table24[New_Count],Table24[Type],Table24[[#This Row],[Type]])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7FA4-A5A7-5441-A98B-77438ACB73EE}">
  <dimension ref="A1:G27"/>
  <sheetViews>
    <sheetView workbookViewId="0">
      <selection activeCell="G2" sqref="G2"/>
    </sheetView>
  </sheetViews>
  <sheetFormatPr baseColWidth="10" defaultRowHeight="15" x14ac:dyDescent="0.2"/>
  <sheetData>
    <row r="1" spans="1:7" x14ac:dyDescent="0.2">
      <c r="A1" t="s">
        <v>8</v>
      </c>
      <c r="B1" t="s">
        <v>1</v>
      </c>
      <c r="C1" t="s">
        <v>9</v>
      </c>
      <c r="D1" t="s">
        <v>10</v>
      </c>
      <c r="E1" t="s">
        <v>14</v>
      </c>
      <c r="F1" t="s">
        <v>11</v>
      </c>
      <c r="G1" t="s">
        <v>13</v>
      </c>
    </row>
    <row r="2" spans="1:7" x14ac:dyDescent="0.2">
      <c r="A2">
        <f>ROW()-1</f>
        <v>1</v>
      </c>
      <c r="B2" t="s">
        <v>3</v>
      </c>
      <c r="C2" s="4">
        <v>0</v>
      </c>
      <c r="D2" s="4">
        <v>1000</v>
      </c>
      <c r="E2" s="4">
        <f>AVERAGE(Table2[[#This Row],[Min_Cost]],Table2[[#This Row],[Max_Cost]])</f>
        <v>500</v>
      </c>
      <c r="F2">
        <v>263</v>
      </c>
      <c r="G2" s="5">
        <f>SUMIFS(Table2[Count],Table2[Max_Cost],"&lt;="&amp;Table2[[#This Row],[Max_Cost]],Table2[Type],Table2[[#This Row],[Type]])/SUMIFS(Table2[Count],Table2[Type],Table2[[#This Row],[Type]])</f>
        <v>1.5828117477130477E-2</v>
      </c>
    </row>
    <row r="3" spans="1:7" x14ac:dyDescent="0.2">
      <c r="A3">
        <f>ROW()-1</f>
        <v>2</v>
      </c>
      <c r="B3" t="s">
        <v>3</v>
      </c>
      <c r="C3" s="4">
        <v>1000</v>
      </c>
      <c r="D3" s="4">
        <v>1250</v>
      </c>
      <c r="E3" s="4">
        <f>AVERAGE(Table2[[#This Row],[Min_Cost]],Table2[[#This Row],[Max_Cost]])</f>
        <v>1125</v>
      </c>
      <c r="F3">
        <v>479</v>
      </c>
      <c r="G3" s="5">
        <f>SUMIFS(Table2[Count],Table2[Max_Cost],"&lt;="&amp;Table2[[#This Row],[Max_Cost]],Table2[Type],Table2[[#This Row],[Type]])/SUMIFS(Table2[Count],Table2[Type],Table2[[#This Row],[Type]])</f>
        <v>4.4655753490611461E-2</v>
      </c>
    </row>
    <row r="4" spans="1:7" x14ac:dyDescent="0.2">
      <c r="A4">
        <f>ROW()-1</f>
        <v>3</v>
      </c>
      <c r="B4" t="s">
        <v>3</v>
      </c>
      <c r="C4" s="4">
        <v>1250</v>
      </c>
      <c r="D4" s="4">
        <v>1500</v>
      </c>
      <c r="E4" s="4">
        <f>AVERAGE(Table2[[#This Row],[Min_Cost]],Table2[[#This Row],[Max_Cost]])</f>
        <v>1375</v>
      </c>
      <c r="F4">
        <v>947</v>
      </c>
      <c r="G4" s="5">
        <f>SUMIFS(Table2[Count],Table2[Max_Cost],"&lt;="&amp;Table2[[#This Row],[Max_Cost]],Table2[Type],Table2[[#This Row],[Type]])/SUMIFS(Table2[Count],Table2[Type],Table2[[#This Row],[Type]])</f>
        <v>0.10164901299951853</v>
      </c>
    </row>
    <row r="5" spans="1:7" x14ac:dyDescent="0.2">
      <c r="A5">
        <f>ROW()-1</f>
        <v>4</v>
      </c>
      <c r="B5" t="s">
        <v>3</v>
      </c>
      <c r="C5" s="4">
        <v>1500</v>
      </c>
      <c r="D5" s="4">
        <v>1750</v>
      </c>
      <c r="E5" s="4">
        <f>AVERAGE(Table2[[#This Row],[Min_Cost]],Table2[[#This Row],[Max_Cost]])</f>
        <v>1625</v>
      </c>
      <c r="F5">
        <v>1912</v>
      </c>
      <c r="G5" s="5">
        <f>SUMIFS(Table2[Count],Table2[Max_Cost],"&lt;="&amp;Table2[[#This Row],[Max_Cost]],Table2[Type],Table2[[#This Row],[Type]])/SUMIFS(Table2[Count],Table2[Type],Table2[[#This Row],[Type]])</f>
        <v>0.21671882522869523</v>
      </c>
    </row>
    <row r="6" spans="1:7" x14ac:dyDescent="0.2">
      <c r="A6">
        <f>ROW()-1</f>
        <v>5</v>
      </c>
      <c r="B6" t="s">
        <v>3</v>
      </c>
      <c r="C6" s="4">
        <v>1750</v>
      </c>
      <c r="D6" s="4">
        <v>2000</v>
      </c>
      <c r="E6" s="4">
        <f>AVERAGE(Table2[[#This Row],[Min_Cost]],Table2[[#This Row],[Max_Cost]])</f>
        <v>1875</v>
      </c>
      <c r="F6">
        <v>2687</v>
      </c>
      <c r="G6" s="5">
        <f>SUMIFS(Table2[Count],Table2[Max_Cost],"&lt;="&amp;Table2[[#This Row],[Max_Cost]],Table2[Type],Table2[[#This Row],[Type]])/SUMIFS(Table2[Count],Table2[Type],Table2[[#This Row],[Type]])</f>
        <v>0.37843042850264808</v>
      </c>
    </row>
    <row r="7" spans="1:7" x14ac:dyDescent="0.2">
      <c r="A7">
        <f>ROW()-1</f>
        <v>6</v>
      </c>
      <c r="B7" t="s">
        <v>3</v>
      </c>
      <c r="C7" s="4">
        <v>2000</v>
      </c>
      <c r="D7" s="4">
        <v>2250</v>
      </c>
      <c r="E7" s="4">
        <f>AVERAGE(Table2[[#This Row],[Min_Cost]],Table2[[#This Row],[Max_Cost]])</f>
        <v>2125</v>
      </c>
      <c r="F7">
        <v>2258</v>
      </c>
      <c r="G7" s="5">
        <f>SUMIFS(Table2[Count],Table2[Max_Cost],"&lt;="&amp;Table2[[#This Row],[Max_Cost]],Table2[Type],Table2[[#This Row],[Type]])/SUMIFS(Table2[Count],Table2[Type],Table2[[#This Row],[Type]])</f>
        <v>0.51432354357246024</v>
      </c>
    </row>
    <row r="8" spans="1:7" x14ac:dyDescent="0.2">
      <c r="A8">
        <f>ROW()-1</f>
        <v>7</v>
      </c>
      <c r="B8" t="s">
        <v>3</v>
      </c>
      <c r="C8" s="4">
        <v>2250</v>
      </c>
      <c r="D8" s="4">
        <v>2500</v>
      </c>
      <c r="E8" s="4">
        <f>AVERAGE(Table2[[#This Row],[Min_Cost]],Table2[[#This Row],[Max_Cost]])</f>
        <v>2375</v>
      </c>
      <c r="F8">
        <v>2457</v>
      </c>
      <c r="G8" s="5">
        <f>SUMIFS(Table2[Count],Table2[Max_Cost],"&lt;="&amp;Table2[[#This Row],[Max_Cost]],Table2[Type],Table2[[#This Row],[Type]])/SUMIFS(Table2[Count],Table2[Type],Table2[[#This Row],[Type]])</f>
        <v>0.66219306692344726</v>
      </c>
    </row>
    <row r="9" spans="1:7" x14ac:dyDescent="0.2">
      <c r="A9">
        <f>ROW()-1</f>
        <v>8</v>
      </c>
      <c r="B9" t="s">
        <v>3</v>
      </c>
      <c r="C9" s="4">
        <v>2500</v>
      </c>
      <c r="D9" s="4">
        <v>2750</v>
      </c>
      <c r="E9" s="4">
        <f>AVERAGE(Table2[[#This Row],[Min_Cost]],Table2[[#This Row],[Max_Cost]])</f>
        <v>2625</v>
      </c>
      <c r="F9">
        <v>1669</v>
      </c>
      <c r="G9" s="5">
        <f>SUMIFS(Table2[Count],Table2[Max_Cost],"&lt;="&amp;Table2[[#This Row],[Max_Cost]],Table2[Type],Table2[[#This Row],[Type]])/SUMIFS(Table2[Count],Table2[Type],Table2[[#This Row],[Type]])</f>
        <v>0.76263842079922961</v>
      </c>
    </row>
    <row r="10" spans="1:7" x14ac:dyDescent="0.2">
      <c r="A10">
        <f>ROW()-1</f>
        <v>9</v>
      </c>
      <c r="B10" t="s">
        <v>3</v>
      </c>
      <c r="C10" s="4">
        <v>2750</v>
      </c>
      <c r="D10" s="4">
        <v>3000</v>
      </c>
      <c r="E10" s="4">
        <f>AVERAGE(Table2[[#This Row],[Min_Cost]],Table2[[#This Row],[Max_Cost]])</f>
        <v>2875</v>
      </c>
      <c r="F10">
        <v>1403</v>
      </c>
      <c r="G10" s="5">
        <f>SUMIFS(Table2[Count],Table2[Max_Cost],"&lt;="&amp;Table2[[#This Row],[Max_Cost]],Table2[Type],Table2[[#This Row],[Type]])/SUMIFS(Table2[Count],Table2[Type],Table2[[#This Row],[Type]])</f>
        <v>0.84707510832932109</v>
      </c>
    </row>
    <row r="11" spans="1:7" x14ac:dyDescent="0.2">
      <c r="A11">
        <f>ROW()-1</f>
        <v>10</v>
      </c>
      <c r="B11" t="s">
        <v>3</v>
      </c>
      <c r="C11" s="4">
        <v>3000</v>
      </c>
      <c r="D11" s="4">
        <v>3250</v>
      </c>
      <c r="E11" s="4">
        <f>AVERAGE(Table2[[#This Row],[Min_Cost]],Table2[[#This Row],[Max_Cost]])</f>
        <v>3125</v>
      </c>
      <c r="F11">
        <v>947</v>
      </c>
      <c r="G11" s="5">
        <f>SUMIFS(Table2[Count],Table2[Max_Cost],"&lt;="&amp;Table2[[#This Row],[Max_Cost]],Table2[Type],Table2[[#This Row],[Type]])/SUMIFS(Table2[Count],Table2[Type],Table2[[#This Row],[Type]])</f>
        <v>0.90406836783822819</v>
      </c>
    </row>
    <row r="12" spans="1:7" x14ac:dyDescent="0.2">
      <c r="A12">
        <f>ROW()-1</f>
        <v>11</v>
      </c>
      <c r="B12" t="s">
        <v>3</v>
      </c>
      <c r="C12" s="4">
        <v>3250</v>
      </c>
      <c r="D12" s="4">
        <v>3500</v>
      </c>
      <c r="E12" s="4">
        <f>AVERAGE(Table2[[#This Row],[Min_Cost]],Table2[[#This Row],[Max_Cost]])</f>
        <v>3375</v>
      </c>
      <c r="F12">
        <v>654</v>
      </c>
      <c r="G12" s="5">
        <f>SUMIFS(Table2[Count],Table2[Max_Cost],"&lt;="&amp;Table2[[#This Row],[Max_Cost]],Table2[Type],Table2[[#This Row],[Type]])/SUMIFS(Table2[Count],Table2[Type],Table2[[#This Row],[Type]])</f>
        <v>0.94342802118440061</v>
      </c>
    </row>
    <row r="13" spans="1:7" x14ac:dyDescent="0.2">
      <c r="A13">
        <f>ROW()-1</f>
        <v>12</v>
      </c>
      <c r="B13" t="s">
        <v>3</v>
      </c>
      <c r="C13" s="4">
        <v>3500</v>
      </c>
      <c r="D13" s="4">
        <v>3750</v>
      </c>
      <c r="E13" s="4">
        <f>AVERAGE(Table2[[#This Row],[Min_Cost]],Table2[[#This Row],[Max_Cost]])</f>
        <v>3625</v>
      </c>
      <c r="F13">
        <v>481</v>
      </c>
      <c r="G13" s="5">
        <f>SUMIFS(Table2[Count],Table2[Max_Cost],"&lt;="&amp;Table2[[#This Row],[Max_Cost]],Table2[Type],Table2[[#This Row],[Type]])/SUMIFS(Table2[Count],Table2[Type],Table2[[#This Row],[Type]])</f>
        <v>0.97237602311025517</v>
      </c>
    </row>
    <row r="14" spans="1:7" x14ac:dyDescent="0.2">
      <c r="A14">
        <f>ROW()-1</f>
        <v>13</v>
      </c>
      <c r="B14" t="s">
        <v>3</v>
      </c>
      <c r="C14" s="4">
        <v>3750</v>
      </c>
      <c r="D14" s="4">
        <v>4000</v>
      </c>
      <c r="E14" s="4">
        <f>AVERAGE(Table2[[#This Row],[Min_Cost]],Table2[[#This Row],[Max_Cost]])</f>
        <v>3875</v>
      </c>
      <c r="F14">
        <v>459</v>
      </c>
      <c r="G14" s="5">
        <f>SUMIFS(Table2[Count],Table2[Max_Cost],"&lt;="&amp;Table2[[#This Row],[Max_Cost]],Table2[Type],Table2[[#This Row],[Type]])/SUMIFS(Table2[Count],Table2[Type],Table2[[#This Row],[Type]])</f>
        <v>1</v>
      </c>
    </row>
    <row r="15" spans="1:7" x14ac:dyDescent="0.2">
      <c r="A15">
        <f t="shared" ref="A15:A27" si="0">ROW()-1</f>
        <v>14</v>
      </c>
      <c r="B15" t="s">
        <v>2</v>
      </c>
      <c r="C15" s="4">
        <v>0</v>
      </c>
      <c r="D15" s="4">
        <v>1000</v>
      </c>
      <c r="E15" s="6">
        <f>AVERAGE(Table2[[#This Row],[Min_Cost]],Table2[[#This Row],[Max_Cost]])</f>
        <v>500</v>
      </c>
      <c r="F15">
        <v>10</v>
      </c>
      <c r="G15" s="5">
        <f>SUMIFS(Table2[Count],Table2[Max_Cost],"&lt;="&amp;Table2[[#This Row],[Max_Cost]],Table2[Type],Table2[[#This Row],[Type]])/SUMIFS(Table2[Count],Table2[Type],Table2[[#This Row],[Type]])</f>
        <v>4.3687199650502403E-3</v>
      </c>
    </row>
    <row r="16" spans="1:7" x14ac:dyDescent="0.2">
      <c r="A16">
        <f t="shared" si="0"/>
        <v>15</v>
      </c>
      <c r="B16" t="s">
        <v>2</v>
      </c>
      <c r="C16" s="4">
        <v>1000</v>
      </c>
      <c r="D16" s="4">
        <v>1250</v>
      </c>
      <c r="E16" s="6">
        <f>AVERAGE(Table2[[#This Row],[Min_Cost]],Table2[[#This Row],[Max_Cost]])</f>
        <v>1125</v>
      </c>
      <c r="F16">
        <v>42</v>
      </c>
      <c r="G16" s="5">
        <f>SUMIFS(Table2[Count],Table2[Max_Cost],"&lt;="&amp;Table2[[#This Row],[Max_Cost]],Table2[Type],Table2[[#This Row],[Type]])/SUMIFS(Table2[Count],Table2[Type],Table2[[#This Row],[Type]])</f>
        <v>2.2717343818261248E-2</v>
      </c>
    </row>
    <row r="17" spans="1:7" x14ac:dyDescent="0.2">
      <c r="A17">
        <f t="shared" si="0"/>
        <v>16</v>
      </c>
      <c r="B17" t="s">
        <v>2</v>
      </c>
      <c r="C17" s="4">
        <v>1250</v>
      </c>
      <c r="D17" s="4">
        <v>1500</v>
      </c>
      <c r="E17" s="6">
        <f>AVERAGE(Table2[[#This Row],[Min_Cost]],Table2[[#This Row],[Max_Cost]])</f>
        <v>1375</v>
      </c>
      <c r="F17">
        <v>151</v>
      </c>
      <c r="G17" s="5">
        <f>SUMIFS(Table2[Count],Table2[Max_Cost],"&lt;="&amp;Table2[[#This Row],[Max_Cost]],Table2[Type],Table2[[#This Row],[Type]])/SUMIFS(Table2[Count],Table2[Type],Table2[[#This Row],[Type]])</f>
        <v>8.8685015290519878E-2</v>
      </c>
    </row>
    <row r="18" spans="1:7" x14ac:dyDescent="0.2">
      <c r="A18">
        <f t="shared" si="0"/>
        <v>17</v>
      </c>
      <c r="B18" t="s">
        <v>2</v>
      </c>
      <c r="C18" s="4">
        <v>1500</v>
      </c>
      <c r="D18" s="4">
        <v>1750</v>
      </c>
      <c r="E18" s="6">
        <f>AVERAGE(Table2[[#This Row],[Min_Cost]],Table2[[#This Row],[Max_Cost]])</f>
        <v>1625</v>
      </c>
      <c r="F18">
        <v>142</v>
      </c>
      <c r="G18" s="5">
        <f>SUMIFS(Table2[Count],Table2[Max_Cost],"&lt;="&amp;Table2[[#This Row],[Max_Cost]],Table2[Type],Table2[[#This Row],[Type]])/SUMIFS(Table2[Count],Table2[Type],Table2[[#This Row],[Type]])</f>
        <v>0.15072083879423329</v>
      </c>
    </row>
    <row r="19" spans="1:7" x14ac:dyDescent="0.2">
      <c r="A19">
        <f t="shared" si="0"/>
        <v>18</v>
      </c>
      <c r="B19" t="s">
        <v>2</v>
      </c>
      <c r="C19" s="4">
        <v>1750</v>
      </c>
      <c r="D19" s="4">
        <v>2000</v>
      </c>
      <c r="E19" s="6">
        <f>AVERAGE(Table2[[#This Row],[Min_Cost]],Table2[[#This Row],[Max_Cost]])</f>
        <v>1875</v>
      </c>
      <c r="F19">
        <v>225</v>
      </c>
      <c r="G19" s="5">
        <f>SUMIFS(Table2[Count],Table2[Max_Cost],"&lt;="&amp;Table2[[#This Row],[Max_Cost]],Table2[Type],Table2[[#This Row],[Type]])/SUMIFS(Table2[Count],Table2[Type],Table2[[#This Row],[Type]])</f>
        <v>0.24901703800786371</v>
      </c>
    </row>
    <row r="20" spans="1:7" x14ac:dyDescent="0.2">
      <c r="A20">
        <f t="shared" si="0"/>
        <v>19</v>
      </c>
      <c r="B20" t="s">
        <v>2</v>
      </c>
      <c r="C20" s="4">
        <v>2000</v>
      </c>
      <c r="D20" s="4">
        <v>2250</v>
      </c>
      <c r="E20" s="6">
        <f>AVERAGE(Table2[[#This Row],[Min_Cost]],Table2[[#This Row],[Max_Cost]])</f>
        <v>2125</v>
      </c>
      <c r="F20">
        <v>374</v>
      </c>
      <c r="G20" s="5">
        <f>SUMIFS(Table2[Count],Table2[Max_Cost],"&lt;="&amp;Table2[[#This Row],[Max_Cost]],Table2[Type],Table2[[#This Row],[Type]])/SUMIFS(Table2[Count],Table2[Type],Table2[[#This Row],[Type]])</f>
        <v>0.41240716470074268</v>
      </c>
    </row>
    <row r="21" spans="1:7" x14ac:dyDescent="0.2">
      <c r="A21">
        <f t="shared" si="0"/>
        <v>20</v>
      </c>
      <c r="B21" t="s">
        <v>2</v>
      </c>
      <c r="C21" s="4">
        <v>2250</v>
      </c>
      <c r="D21" s="4">
        <v>2500</v>
      </c>
      <c r="E21" s="6">
        <f>AVERAGE(Table2[[#This Row],[Min_Cost]],Table2[[#This Row],[Max_Cost]])</f>
        <v>2375</v>
      </c>
      <c r="F21">
        <v>390</v>
      </c>
      <c r="G21" s="5">
        <f>SUMIFS(Table2[Count],Table2[Max_Cost],"&lt;="&amp;Table2[[#This Row],[Max_Cost]],Table2[Type],Table2[[#This Row],[Type]])/SUMIFS(Table2[Count],Table2[Type],Table2[[#This Row],[Type]])</f>
        <v>0.58278724333770204</v>
      </c>
    </row>
    <row r="22" spans="1:7" x14ac:dyDescent="0.2">
      <c r="A22">
        <f t="shared" si="0"/>
        <v>21</v>
      </c>
      <c r="B22" t="s">
        <v>2</v>
      </c>
      <c r="C22" s="4">
        <v>2500</v>
      </c>
      <c r="D22" s="4">
        <v>2750</v>
      </c>
      <c r="E22" s="6">
        <f>AVERAGE(Table2[[#This Row],[Min_Cost]],Table2[[#This Row],[Max_Cost]])</f>
        <v>2625</v>
      </c>
      <c r="F22">
        <v>287</v>
      </c>
      <c r="G22" s="5">
        <f>SUMIFS(Table2[Count],Table2[Max_Cost],"&lt;="&amp;Table2[[#This Row],[Max_Cost]],Table2[Type],Table2[[#This Row],[Type]])/SUMIFS(Table2[Count],Table2[Type],Table2[[#This Row],[Type]])</f>
        <v>0.70816950633464393</v>
      </c>
    </row>
    <row r="23" spans="1:7" x14ac:dyDescent="0.2">
      <c r="A23">
        <f t="shared" si="0"/>
        <v>22</v>
      </c>
      <c r="B23" t="s">
        <v>2</v>
      </c>
      <c r="C23" s="4">
        <v>2750</v>
      </c>
      <c r="D23" s="4">
        <v>3000</v>
      </c>
      <c r="E23" s="6">
        <f>AVERAGE(Table2[[#This Row],[Min_Cost]],Table2[[#This Row],[Max_Cost]])</f>
        <v>2875</v>
      </c>
      <c r="F23">
        <v>190</v>
      </c>
      <c r="G23" s="5">
        <f>SUMIFS(Table2[Count],Table2[Max_Cost],"&lt;="&amp;Table2[[#This Row],[Max_Cost]],Table2[Type],Table2[[#This Row],[Type]])/SUMIFS(Table2[Count],Table2[Type],Table2[[#This Row],[Type]])</f>
        <v>0.79117518567059852</v>
      </c>
    </row>
    <row r="24" spans="1:7" x14ac:dyDescent="0.2">
      <c r="A24">
        <f t="shared" si="0"/>
        <v>23</v>
      </c>
      <c r="B24" t="s">
        <v>2</v>
      </c>
      <c r="C24" s="4">
        <v>3000</v>
      </c>
      <c r="D24" s="4">
        <v>3250</v>
      </c>
      <c r="E24" s="6">
        <f>AVERAGE(Table2[[#This Row],[Min_Cost]],Table2[[#This Row],[Max_Cost]])</f>
        <v>3125</v>
      </c>
      <c r="F24">
        <v>155</v>
      </c>
      <c r="G24" s="5">
        <f>SUMIFS(Table2[Count],Table2[Max_Cost],"&lt;="&amp;Table2[[#This Row],[Max_Cost]],Table2[Type],Table2[[#This Row],[Type]])/SUMIFS(Table2[Count],Table2[Type],Table2[[#This Row],[Type]])</f>
        <v>0.85889034512887719</v>
      </c>
    </row>
    <row r="25" spans="1:7" x14ac:dyDescent="0.2">
      <c r="A25">
        <f t="shared" si="0"/>
        <v>24</v>
      </c>
      <c r="B25" t="s">
        <v>2</v>
      </c>
      <c r="C25" s="4">
        <v>3250</v>
      </c>
      <c r="D25" s="4">
        <v>3500</v>
      </c>
      <c r="E25" s="6">
        <f>AVERAGE(Table2[[#This Row],[Min_Cost]],Table2[[#This Row],[Max_Cost]])</f>
        <v>3375</v>
      </c>
      <c r="F25">
        <v>153</v>
      </c>
      <c r="G25" s="5">
        <f>SUMIFS(Table2[Count],Table2[Max_Cost],"&lt;="&amp;Table2[[#This Row],[Max_Cost]],Table2[Type],Table2[[#This Row],[Type]])/SUMIFS(Table2[Count],Table2[Type],Table2[[#This Row],[Type]])</f>
        <v>0.92573176059414597</v>
      </c>
    </row>
    <row r="26" spans="1:7" x14ac:dyDescent="0.2">
      <c r="A26">
        <f t="shared" si="0"/>
        <v>25</v>
      </c>
      <c r="B26" t="s">
        <v>2</v>
      </c>
      <c r="C26" s="4">
        <v>3500</v>
      </c>
      <c r="D26" s="4">
        <v>3750</v>
      </c>
      <c r="E26" s="6">
        <f>AVERAGE(Table2[[#This Row],[Min_Cost]],Table2[[#This Row],[Max_Cost]])</f>
        <v>3625</v>
      </c>
      <c r="F26">
        <v>120</v>
      </c>
      <c r="G26" s="5">
        <f>SUMIFS(Table2[Count],Table2[Max_Cost],"&lt;="&amp;Table2[[#This Row],[Max_Cost]],Table2[Type],Table2[[#This Row],[Type]])/SUMIFS(Table2[Count],Table2[Type],Table2[[#This Row],[Type]])</f>
        <v>0.97815640017474881</v>
      </c>
    </row>
    <row r="27" spans="1:7" x14ac:dyDescent="0.2">
      <c r="A27">
        <f t="shared" si="0"/>
        <v>26</v>
      </c>
      <c r="B27" t="s">
        <v>2</v>
      </c>
      <c r="C27" s="4">
        <v>3750</v>
      </c>
      <c r="D27" s="4">
        <v>4000</v>
      </c>
      <c r="E27" s="6">
        <f>AVERAGE(Table2[[#This Row],[Min_Cost]],Table2[[#This Row],[Max_Cost]])</f>
        <v>3875</v>
      </c>
      <c r="F27">
        <v>50</v>
      </c>
      <c r="G27" s="5">
        <f>SUMIFS(Table2[Count],Table2[Max_Cost],"&lt;="&amp;Table2[[#This Row],[Max_Cost]],Table2[Type],Table2[[#This Row],[Type]])/SUMIFS(Table2[Count],Table2[Type],Table2[[#This Row],[Type]])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3614-652C-4B5F-91A9-D75409CD994E}">
  <dimension ref="A1:A6"/>
  <sheetViews>
    <sheetView workbookViewId="0">
      <selection activeCell="A7" sqref="A7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3" spans="1:1" x14ac:dyDescent="0.2">
      <c r="A3" t="s">
        <v>12</v>
      </c>
    </row>
    <row r="5" spans="1:1" x14ac:dyDescent="0.2">
      <c r="A5" t="s">
        <v>16</v>
      </c>
    </row>
    <row r="6" spans="1:1" x14ac:dyDescent="0.2">
      <c r="A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Apartments</vt:lpstr>
      <vt:lpstr>Apartments_V2</vt:lpstr>
      <vt:lpstr>Appartments_Count _V2</vt:lpstr>
      <vt:lpstr>Appartments_Count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Conti</cp:lastModifiedBy>
  <dcterms:created xsi:type="dcterms:W3CDTF">2015-06-05T18:17:20Z</dcterms:created>
  <dcterms:modified xsi:type="dcterms:W3CDTF">2026-08-02T23:21:27Z</dcterms:modified>
</cp:coreProperties>
</file>